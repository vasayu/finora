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Balance Sheet" state="visible" r:id="rId5"/>
  </sheets>
  <calcPr calcId="171027"/>
</workbook>
</file>

<file path=xl/sharedStrings.xml><?xml version="1.0" encoding="utf-8"?>
<sst xmlns="http://schemas.openxmlformats.org/spreadsheetml/2006/main" count="84" uniqueCount="43">
  <si>
    <t>Date</t>
  </si>
  <si>
    <t>Type</t>
  </si>
  <si>
    <t>Category</t>
  </si>
  <si>
    <t>Description</t>
  </si>
  <si>
    <t>Amount</t>
  </si>
  <si>
    <t>BS Account</t>
  </si>
  <si>
    <t>EXPENSE</t>
  </si>
  <si>
    <t>Marketing</t>
  </si>
  <si>
    <t/>
  </si>
  <si>
    <t>Cash &amp; Cash Equivalents</t>
  </si>
  <si>
    <t>BALANCE SHEET</t>
  </si>
  <si>
    <t>As-Of Date:</t>
  </si>
  <si>
    <t>ASSETS</t>
  </si>
  <si>
    <t xml:space="preserve">  Current Assets</t>
  </si>
  <si>
    <t xml:space="preserve">    Cash &amp; Cash Equivalents</t>
  </si>
  <si>
    <t xml:space="preserve">    Accounts Receivable</t>
  </si>
  <si>
    <t xml:space="preserve">    Inventory</t>
  </si>
  <si>
    <t xml:space="preserve">    Prepaid Expenses</t>
  </si>
  <si>
    <t xml:space="preserve">  Total Current Assets</t>
  </si>
  <si>
    <t xml:space="preserve">  Non-Current Assets</t>
  </si>
  <si>
    <t xml:space="preserve">    Property, Plant &amp; Equipment</t>
  </si>
  <si>
    <t xml:space="preserve">    Intangible Assets</t>
  </si>
  <si>
    <t xml:space="preserve">  Total Non-Current Assets</t>
  </si>
  <si>
    <t>TOTAL ASSETS</t>
  </si>
  <si>
    <t>LIABILITIES</t>
  </si>
  <si>
    <t xml:space="preserve">  Current Liabilities</t>
  </si>
  <si>
    <t xml:space="preserve">    Accounts Payable</t>
  </si>
  <si>
    <t xml:space="preserve">    Accrued Expenses</t>
  </si>
  <si>
    <t xml:space="preserve">    Salaries Payable</t>
  </si>
  <si>
    <t xml:space="preserve">    Short-Term Debt</t>
  </si>
  <si>
    <t xml:space="preserve">  Total Current Liabilities</t>
  </si>
  <si>
    <t xml:space="preserve">  Non-Current Liabilities</t>
  </si>
  <si>
    <t xml:space="preserve">    Long-Term Debt</t>
  </si>
  <si>
    <t xml:space="preserve">    Deferred Tax Liability</t>
  </si>
  <si>
    <t xml:space="preserve">  Total Non-Current Liabilities</t>
  </si>
  <si>
    <t>TOTAL LIABILITIES</t>
  </si>
  <si>
    <t>EQUITY</t>
  </si>
  <si>
    <t xml:space="preserve">  Shareholders' Equity</t>
  </si>
  <si>
    <t xml:space="preserve">    Share Capital</t>
  </si>
  <si>
    <t xml:space="preserve">    Retained Earnings</t>
  </si>
  <si>
    <t xml:space="preserve">  Total Shareholders' Equity</t>
  </si>
  <si>
    <t>TOTAL EQUITY</t>
  </si>
  <si>
    <t>Balance Check (A - L - 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</si>
</sst>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-MMM-YYYY"/>
    <numFmt numFmtId="165" formatCode="₹#,##0.00"/>
    <numFmt numFmtId="166" formatCode="₹#,##0.00;(₹#,##0.00)"/>
  </numFmts>
  <fonts count="11" x14ac:knownFonts="1">
    <font>
      <color theme="1"/>
      <family val="2"/>
      <scheme val="minor"/>
      <sz val="11"/>
      <name val="Calibri"/>
    </font>
    <font>
      <b/>
      <color rgb="FFFFFFFF"/>
    </font>
    <font>
      <b/>
      <sz val="16"/>
    </font>
    <font>
      <b/>
      <color rgb="FF1F4E79"/>
    </font>
    <font>
      <b/>
      <color rgb="FF0000FF"/>
    </font>
    <font>
      <b/>
      <sz val="13"/>
    </font>
    <font>
      <b/>
      <i/>
      <sz val="11"/>
    </font>
    <font>
      <color rgb="FF008000"/>
    </font>
    <font>
      <b/>
    </font>
    <font>
      <b/>
      <sz val="12"/>
    </font>
    <font>
      <b/>
      <i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</patternFill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 style="double"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4" fillId="3" borderId="0" xfId="0" applyNumberFormat="1" applyFont="1" applyFill="1"/>
    <xf numFmtId="0" fontId="5" fillId="4" borderId="0" xfId="0" applyFont="1" applyFill="1"/>
    <xf numFmtId="0" fontId="0" fillId="4" borderId="0" xfId="0" applyFill="1"/>
    <xf numFmtId="0" fontId="6" fillId="0" borderId="0" xfId="0" applyFont="1"/>
    <xf numFmtId="166" fontId="7" fillId="0" borderId="0" xfId="0" applyNumberFormat="1" applyFont="1"/>
    <xf numFmtId="0" fontId="8" fillId="0" borderId="0" xfId="0" applyFont="1"/>
    <xf numFmtId="166" fontId="8" fillId="0" borderId="1" xfId="0" applyNumberFormat="1" applyFont="1" applyBorder="1"/>
    <xf numFmtId="0" fontId="9" fillId="0" borderId="0" xfId="0" applyFont="1"/>
    <xf numFmtId="166" fontId="9" fillId="0" borderId="2" xfId="0" applyNumberFormat="1" applyFont="1" applyBorder="1"/>
    <xf numFmtId="0" fontId="10" fillId="0" borderId="0" xfId="0" applyFont="1"/>
    <xf numFmtId="166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4" style="1" customWidth="1"/>
    <col min="2" max="2" width="10" customWidth="1"/>
    <col min="3" max="3" width="22" customWidth="1"/>
    <col min="4" max="4" width="35" customWidth="1"/>
    <col min="5" max="5" width="16" style="2" customWidth="1"/>
    <col min="6" max="6" width="28" customWidth="1"/>
  </cols>
  <sheetData>
    <row r="1" spans="1:6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</row>
    <row r="2" spans="1:6" x14ac:dyDescent="0.25">
      <c r="A2" s="1">
        <v>46093.5911519213</v>
      </c>
      <c r="B2" t="s">
        <v>6</v>
      </c>
      <c r="C2" t="s">
        <v>7</v>
      </c>
      <c r="D2" t="s">
        <v>8</v>
      </c>
      <c r="E2" s="2">
        <v>500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FormatPr defaultRowHeight="15" outlineLevelRow="0" outlineLevelCol="0" x14ac:dyDescent="55"/>
  <cols>
    <col min="1" max="1" width="5" customWidth="1"/>
    <col min="2" max="2" width="38" customWidth="1"/>
    <col min="3" max="3" width="22" customWidth="1"/>
  </cols>
  <sheetData>
    <row r="1" spans="1:3" x14ac:dyDescent="0.25">
      <c r="A1" t="s">
        <v>8</v>
      </c>
      <c r="B1" s="6" t="s">
        <v>10</v>
      </c>
      <c r="C1" s="6"/>
    </row>
    <row r="2" spans="1:3" x14ac:dyDescent="0.25">
      <c r="A2" t="s">
        <v>8</v>
      </c>
      <c r="B2" s="7" t="s">
        <v>11</v>
      </c>
      <c r="C2" s="8">
        <v>46093.77083332176</v>
      </c>
    </row>
    <row r="4" spans="1:3" x14ac:dyDescent="0.25">
      <c r="A4" t="s">
        <v>8</v>
      </c>
      <c r="B4" s="9" t="s">
        <v>12</v>
      </c>
      <c r="C4" s="10" t="s">
        <v>8</v>
      </c>
    </row>
    <row r="5" spans="1:3" x14ac:dyDescent="0.25">
      <c r="A5" t="s">
        <v>8</v>
      </c>
      <c r="B5" s="11" t="s">
        <v>13</v>
      </c>
      <c r="C5" t="s">
        <v>8</v>
      </c>
    </row>
    <row r="6" spans="1:3" x14ac:dyDescent="0.25">
      <c r="A6" t="s">
        <v>8</v>
      </c>
      <c r="B6" t="s">
        <v>14</v>
      </c>
      <c r="C6" s="12">
        <f>SUMIFS(Transactions!$E$2:$E$2,Transactions!$B$2:$B$2,"INCOME",Transactions!$F$2:$F$2,"Cash &amp; Cash Equivalents")-SUMIFS(Transactions!$E$2:$E$2,Transactions!$B$2:$B$2,"EXPENSE",Transactions!$F$2:$F$2,"Cash &amp; Cash Equivalents")-SUMIFS(Transactions!$E$2:$E$2,Transactions!$B$2:$B$2,"EXPENSE",Transactions!$F$2:$F$2,"Property, Plant &amp; Equipment")-SUMIFS(Transactions!$E$2:$E$2,Transactions!$B$2:$B$2,"EXPENSE",Transactions!$F$2:$F$2,"Intangible Assets")-SUMIFS(Transactions!$E$2:$E$2,Transactions!$B$2:$B$2,"EXPENSE",Transactions!$F$2:$F$2,"Inventory")-SUMIFS(Transactions!$E$2:$E$2,Transactions!$B$2:$B$2,"EXPENSE",Transactions!$F$2:$F$2,"Prepaid Expenses")</f>
      </c>
    </row>
    <row r="7" spans="1:3" x14ac:dyDescent="0.25">
      <c r="A7" t="s">
        <v>8</v>
      </c>
      <c r="B7" t="s">
        <v>15</v>
      </c>
      <c r="C7" s="12">
        <f>SUMIFS(Transactions!$E$2:$E$2,Transactions!$F$2:$F$2,"Accounts Receivable")</f>
      </c>
    </row>
    <row r="8" spans="1:3" x14ac:dyDescent="0.25">
      <c r="A8" t="s">
        <v>8</v>
      </c>
      <c r="B8" t="s">
        <v>16</v>
      </c>
      <c r="C8" s="12">
        <f>SUMIFS(Transactions!$E$2:$E$2,Transactions!$F$2:$F$2,"Inventory")</f>
      </c>
    </row>
    <row r="9" spans="1:3" x14ac:dyDescent="0.25">
      <c r="A9" t="s">
        <v>8</v>
      </c>
      <c r="B9" t="s">
        <v>17</v>
      </c>
      <c r="C9" s="12">
        <f>SUMIFS(Transactions!$E$2:$E$2,Transactions!$F$2:$F$2,"Prepaid Expenses")</f>
      </c>
    </row>
    <row r="10" spans="1:3" x14ac:dyDescent="0.25">
      <c r="A10" t="s">
        <v>8</v>
      </c>
      <c r="B10" s="13" t="s">
        <v>18</v>
      </c>
      <c r="C10" s="14">
        <f>SUM(C6:C9)</f>
      </c>
    </row>
    <row r="12" spans="1:3" x14ac:dyDescent="0.25">
      <c r="A12" t="s">
        <v>8</v>
      </c>
      <c r="B12" s="11" t="s">
        <v>19</v>
      </c>
      <c r="C12" t="s">
        <v>8</v>
      </c>
    </row>
    <row r="13" spans="1:3" x14ac:dyDescent="0.25">
      <c r="A13" t="s">
        <v>8</v>
      </c>
      <c r="B13" t="s">
        <v>20</v>
      </c>
      <c r="C13" s="12">
        <f>SUMIFS(Transactions!$E$2:$E$2,Transactions!$F$2:$F$2,"Property, Plant &amp; Equipment")</f>
      </c>
    </row>
    <row r="14" spans="1:3" x14ac:dyDescent="0.25">
      <c r="A14" t="s">
        <v>8</v>
      </c>
      <c r="B14" t="s">
        <v>21</v>
      </c>
      <c r="C14" s="12">
        <f>SUMIFS(Transactions!$E$2:$E$2,Transactions!$F$2:$F$2,"Intangible Assets")</f>
      </c>
    </row>
    <row r="15" spans="1:3" x14ac:dyDescent="0.25">
      <c r="A15" t="s">
        <v>8</v>
      </c>
      <c r="B15" s="13" t="s">
        <v>22</v>
      </c>
      <c r="C15" s="14">
        <f>SUM(C13:C14)</f>
      </c>
    </row>
    <row r="17" spans="1:3" x14ac:dyDescent="0.25">
      <c r="A17" t="s">
        <v>8</v>
      </c>
      <c r="B17" s="15" t="s">
        <v>23</v>
      </c>
      <c r="C17" s="16">
        <f>C10+C15</f>
      </c>
    </row>
    <row r="19" spans="1:3" x14ac:dyDescent="0.25">
      <c r="A19" t="s">
        <v>8</v>
      </c>
      <c r="B19" s="9" t="s">
        <v>24</v>
      </c>
      <c r="C19" s="10" t="s">
        <v>8</v>
      </c>
    </row>
    <row r="20" spans="1:3" x14ac:dyDescent="0.25">
      <c r="A20" t="s">
        <v>8</v>
      </c>
      <c r="B20" s="11" t="s">
        <v>25</v>
      </c>
      <c r="C20" t="s">
        <v>8</v>
      </c>
    </row>
    <row r="21" spans="1:3" x14ac:dyDescent="0.25">
      <c r="A21" t="s">
        <v>8</v>
      </c>
      <c r="B21" t="s">
        <v>26</v>
      </c>
      <c r="C21" s="12">
        <f>SUMIFS(Transactions!$E$2:$E$2,Transactions!$F$2:$F$2,"Accounts Payable")</f>
      </c>
    </row>
    <row r="22" spans="1:3" x14ac:dyDescent="0.25">
      <c r="A22" t="s">
        <v>8</v>
      </c>
      <c r="B22" t="s">
        <v>27</v>
      </c>
      <c r="C22" s="12">
        <f>SUMIFS(Transactions!$E$2:$E$2,Transactions!$F$2:$F$2,"Accrued Expenses")</f>
      </c>
    </row>
    <row r="23" spans="1:3" x14ac:dyDescent="0.25">
      <c r="A23" t="s">
        <v>8</v>
      </c>
      <c r="B23" t="s">
        <v>28</v>
      </c>
      <c r="C23" s="12">
        <f>SUMIFS(Transactions!$E$2:$E$2,Transactions!$F$2:$F$2,"Salaries Payable")</f>
      </c>
    </row>
    <row r="24" spans="1:3" x14ac:dyDescent="0.25">
      <c r="A24" t="s">
        <v>8</v>
      </c>
      <c r="B24" t="s">
        <v>29</v>
      </c>
      <c r="C24" s="12">
        <f>SUMIFS(Transactions!$E$2:$E$2,Transactions!$F$2:$F$2,"Short-Term Debt")</f>
      </c>
    </row>
    <row r="25" spans="1:3" x14ac:dyDescent="0.25">
      <c r="A25" t="s">
        <v>8</v>
      </c>
      <c r="B25" s="13" t="s">
        <v>30</v>
      </c>
      <c r="C25" s="14">
        <f>SUM(C21:C24)</f>
      </c>
    </row>
    <row r="27" spans="1:3" x14ac:dyDescent="0.25">
      <c r="A27" t="s">
        <v>8</v>
      </c>
      <c r="B27" s="11" t="s">
        <v>31</v>
      </c>
      <c r="C27" t="s">
        <v>8</v>
      </c>
    </row>
    <row r="28" spans="1:3" x14ac:dyDescent="0.25">
      <c r="A28" t="s">
        <v>8</v>
      </c>
      <c r="B28" t="s">
        <v>32</v>
      </c>
      <c r="C28" s="12">
        <f>SUMIFS(Transactions!$E$2:$E$2,Transactions!$F$2:$F$2,"Long-Term Debt")</f>
      </c>
    </row>
    <row r="29" spans="1:3" x14ac:dyDescent="0.25">
      <c r="A29" t="s">
        <v>8</v>
      </c>
      <c r="B29" t="s">
        <v>33</v>
      </c>
      <c r="C29" s="12">
        <f>SUMIFS(Transactions!$E$2:$E$2,Transactions!$F$2:$F$2,"Deferred Tax Liability")</f>
      </c>
    </row>
    <row r="30" spans="1:3" x14ac:dyDescent="0.25">
      <c r="A30" t="s">
        <v>8</v>
      </c>
      <c r="B30" s="13" t="s">
        <v>34</v>
      </c>
      <c r="C30" s="14">
        <f>SUM(C28:C29)</f>
      </c>
    </row>
    <row r="32" spans="1:3" x14ac:dyDescent="0.25">
      <c r="A32" t="s">
        <v>8</v>
      </c>
      <c r="B32" s="15" t="s">
        <v>35</v>
      </c>
      <c r="C32" s="16">
        <f>C25+C30</f>
      </c>
    </row>
    <row r="34" spans="1:3" x14ac:dyDescent="0.25">
      <c r="A34" t="s">
        <v>8</v>
      </c>
      <c r="B34" s="9" t="s">
        <v>36</v>
      </c>
      <c r="C34" s="10" t="s">
        <v>8</v>
      </c>
    </row>
    <row r="35" spans="1:3" x14ac:dyDescent="0.25">
      <c r="A35" t="s">
        <v>8</v>
      </c>
      <c r="B35" s="11" t="s">
        <v>37</v>
      </c>
      <c r="C35" t="s">
        <v>8</v>
      </c>
    </row>
    <row r="36" spans="1:3" x14ac:dyDescent="0.25">
      <c r="A36" t="s">
        <v>8</v>
      </c>
      <c r="B36" t="s">
        <v>38</v>
      </c>
      <c r="C36" s="12">
        <f>SUMIFS(Transactions!$E$2:$E$2,Transactions!$F$2:$F$2,"Share Capital")</f>
      </c>
    </row>
    <row r="37" spans="1:3" x14ac:dyDescent="0.25">
      <c r="A37" t="s">
        <v>8</v>
      </c>
      <c r="B37" t="s">
        <v>39</v>
      </c>
      <c r="C37" s="12">
        <f>SUMIFS(Transactions!$E$2:$E$2,Transactions!$B$2:$B$2,"INCOME")-SUMIFS(Transactions!$E$2:$E$2,Transactions!$B$2:$B$2,"EXPENSE")</f>
      </c>
    </row>
    <row r="38" spans="1:3" x14ac:dyDescent="0.25">
      <c r="A38" t="s">
        <v>8</v>
      </c>
      <c r="B38" s="13" t="s">
        <v>40</v>
      </c>
      <c r="C38" s="14">
        <f>SUM(C36:C37)</f>
      </c>
    </row>
    <row r="40" spans="1:3" x14ac:dyDescent="0.25">
      <c r="A40" t="s">
        <v>8</v>
      </c>
      <c r="B40" s="15" t="s">
        <v>41</v>
      </c>
      <c r="C40" s="16">
        <f>C38</f>
      </c>
    </row>
    <row r="43" spans="1:3" x14ac:dyDescent="0.25">
      <c r="A43" t="s">
        <v>8</v>
      </c>
      <c r="B43" s="17" t="s">
        <v>42</v>
      </c>
      <c r="C43" s="18">
        <f>C17-C32-C40</f>
      </c>
    </row>
  </sheetData>
  <mergeCells count="1">
    <mergeCell ref="B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Balance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Finora</dc:creator>
  <dc:title/>
  <dc:subject/>
  <dc:description/>
  <cp:keywords/>
  <cp:category/>
  <cp:lastModifiedBy>Unknown</cp:lastModifiedBy>
  <dcterms:created xsi:type="dcterms:W3CDTF">2026-03-12T17:11:58Z</dcterms:created>
  <dcterms:modified xsi:type="dcterms:W3CDTF">2026-03-12T17:11:58Z</dcterms:modified>
</cp:coreProperties>
</file>